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<sst xmlns="http://schemas.openxmlformats.org/spreadsheetml/2006/main" count="45" uniqueCount="20">
  <si>
    <t xml:space="preserve">data brando</t>
  </si>
  <si>
    <t xml:space="preserve">TotalTime [ms]</t>
  </si>
  <si>
    <t xml:space="preserve">groundingTime [ms]</t>
  </si>
  <si>
    <t xml:space="preserve">PlanningTime [ms]</t>
  </si>
  <si>
    <t xml:space="preserve">Difficulty</t>
  </si>
  <si>
    <t xml:space="preserve">Brando TotalTime [ms]</t>
  </si>
  <si>
    <t xml:space="preserve">Brando groundingTime [ms]</t>
  </si>
  <si>
    <t xml:space="preserve">Brando PlanningTime [ms]</t>
  </si>
  <si>
    <t xml:space="preserve">Diego TotalTime [ms] </t>
  </si>
  <si>
    <t xml:space="preserve">Diego groundingTime [ms]</t>
  </si>
  <si>
    <t xml:space="preserve">Diego PlanningTime [ms]</t>
  </si>
  <si>
    <t xml:space="preserve">Difficulty1.xlsx</t>
  </si>
  <si>
    <t xml:space="preserve">Media</t>
  </si>
  <si>
    <t xml:space="preserve">Difficulty2.xlsx</t>
  </si>
  <si>
    <t xml:space="preserve">.</t>
  </si>
  <si>
    <t xml:space="preserve">Difficulty3.xlsx</t>
  </si>
  <si>
    <t xml:space="preserve">Difficulty4.xlsx</t>
  </si>
  <si>
    <t xml:space="preserve">Difficulty5.xlsx</t>
  </si>
  <si>
    <t xml:space="preserve">data diego</t>
  </si>
  <si>
    <t xml:space="preserve">---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</si>
</sst>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Tempo di esecuzione totale vs. difficoltà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Brando TotalTime [ms]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data!$G$2:$G$6</c:f>
              <c:numCache>
                <c:formatCode>General</c:formatCode>
                <c:ptCount val="5"/>
                <c:pt idx="0">
                  <c:v>508.666666666667</c:v>
                </c:pt>
                <c:pt idx="1">
                  <c:v>877.333333333333</c:v>
                </c:pt>
                <c:pt idx="2">
                  <c:v>2951</c:v>
                </c:pt>
                <c:pt idx="3">
                  <c:v>7535.33333333333</c:v>
                </c:pt>
                <c:pt idx="4">
                  <c:v>7947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Diego TotalTime [ms] 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data!$J$2:$J$6</c:f>
              <c:numCache>
                <c:formatCode>General</c:formatCode>
                <c:ptCount val="5"/>
                <c:pt idx="0">
                  <c:v>1528.66666666667</c:v>
                </c:pt>
                <c:pt idx="1">
                  <c:v>2640</c:v>
                </c:pt>
                <c:pt idx="2">
                  <c:v>8464.33333333333</c:v>
                </c:pt>
                <c:pt idx="3">
                  <c:v>16229.3333333333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09623"/>
        <c:axId val="56421508"/>
      </c:lineChart>
      <c:catAx>
        <c:axId val="804096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difficoltà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421508"/>
        <c:crosses val="autoZero"/>
        <c:auto val="1"/>
        <c:lblAlgn val="ctr"/>
        <c:lblOffset val="100"/>
        <c:noMultiLvlLbl val="0"/>
      </c:catAx>
      <c:valAx>
        <c:axId val="56421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Tempo di esecuzione 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4096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Grounding vs Planning Tiime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data!$G$43</c:f>
              <c:strCache>
                <c:ptCount val="1"/>
                <c:pt idx="0">
                  <c:v>Brando groundingTime [ms]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data!$G$44:$G$53</c:f>
              <c:numCache>
                <c:formatCode>General</c:formatCode>
                <c:ptCount val="10"/>
                <c:pt idx="0">
                  <c:v>469.333333333333</c:v>
                </c:pt>
                <c:pt idx="2">
                  <c:v>754.666666666667</c:v>
                </c:pt>
                <c:pt idx="4">
                  <c:v>2158.33333333333</c:v>
                </c:pt>
                <c:pt idx="6">
                  <c:v>3898.66666666667</c:v>
                </c:pt>
                <c:pt idx="8">
                  <c:v>5387</c:v>
                </c:pt>
              </c:numCache>
            </c:numRef>
          </c:val>
        </c:ser>
        <c:ser>
          <c:idx val="1"/>
          <c:order val="1"/>
          <c:tx>
            <c:strRef>
              <c:f>data!$H$43</c:f>
              <c:strCache>
                <c:ptCount val="1"/>
                <c:pt idx="0">
                  <c:v>Brando PlanningTime [ms]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data!$H$44:$H$53</c:f>
              <c:numCache>
                <c:formatCode>General</c:formatCode>
                <c:ptCount val="10"/>
                <c:pt idx="0">
                  <c:v>39.3333333333333</c:v>
                </c:pt>
                <c:pt idx="2">
                  <c:v>122.666666666667</c:v>
                </c:pt>
                <c:pt idx="4">
                  <c:v>792.666666666667</c:v>
                </c:pt>
                <c:pt idx="6">
                  <c:v>3636.66666666667</c:v>
                </c:pt>
                <c:pt idx="8">
                  <c:v>2560</c:v>
                </c:pt>
              </c:numCache>
            </c:numRef>
          </c:val>
        </c:ser>
        <c:ser>
          <c:idx val="2"/>
          <c:order val="2"/>
          <c:tx>
            <c:strRef>
              <c:f>data!$I$43</c:f>
              <c:strCache>
                <c:ptCount val="1"/>
                <c:pt idx="0">
                  <c:v>Diego groundingTime [ms]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data!$I$44:$I$53</c:f>
              <c:numCache>
                <c:formatCode>General</c:formatCode>
                <c:ptCount val="10"/>
                <c:pt idx="1">
                  <c:v>1421</c:v>
                </c:pt>
                <c:pt idx="3">
                  <c:v>2196</c:v>
                </c:pt>
                <c:pt idx="5">
                  <c:v>6838.66666666667</c:v>
                </c:pt>
                <c:pt idx="7">
                  <c:v>11226.3333333333</c:v>
                </c:pt>
              </c:numCache>
            </c:numRef>
          </c:val>
        </c:ser>
        <c:ser>
          <c:idx val="3"/>
          <c:order val="3"/>
          <c:tx>
            <c:strRef>
              <c:f>data!$J$43</c:f>
              <c:strCache>
                <c:ptCount val="1"/>
                <c:pt idx="0">
                  <c:v>Diego PlanningTime [ms]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data!$F$44:$F$53</c:f>
              <c:strCach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strCache>
            </c:strRef>
          </c:cat>
          <c:val>
            <c:numRef>
              <c:f>data!$J$44:$J$53</c:f>
              <c:numCache>
                <c:formatCode>General</c:formatCode>
                <c:ptCount val="10"/>
                <c:pt idx="1">
                  <c:v>107.666666666667</c:v>
                </c:pt>
                <c:pt idx="3">
                  <c:v>444</c:v>
                </c:pt>
                <c:pt idx="5">
                  <c:v>1625.66666666667</c:v>
                </c:pt>
                <c:pt idx="7">
                  <c:v>5003</c:v>
                </c:pt>
              </c:numCache>
            </c:numRef>
          </c:val>
        </c:ser>
        <c:gapWidth val="50"/>
        <c:overlap val="100"/>
        <c:axId val="61452460"/>
        <c:axId val="9151825"/>
      </c:barChart>
      <c:catAx>
        <c:axId val="61452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Difficoltà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51825"/>
        <c:crosses val="autoZero"/>
        <c:auto val="1"/>
        <c:lblAlgn val="ctr"/>
        <c:lblOffset val="100"/>
        <c:noMultiLvlLbl val="0"/>
      </c:catAx>
      <c:valAx>
        <c:axId val="9151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Tempo [ms]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45246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923040</xdr:colOff>
      <xdr:row>6</xdr:row>
      <xdr:rowOff>141120</xdr:rowOff>
    </xdr:from>
    <xdr:to>
      <xdr:col>14</xdr:col>
      <xdr:colOff>138240</xdr:colOff>
      <xdr:row>41</xdr:row>
      <xdr:rowOff>19080</xdr:rowOff>
    </xdr:to>
    <xdr:graphicFrame>
      <xdr:nvGraphicFramePr>
        <xdr:cNvPr id="0" name=""/>
        <xdr:cNvGraphicFramePr/>
      </xdr:nvGraphicFramePr>
      <xdr:xfrm>
        <a:off x="7144920" y="1284120"/>
        <a:ext cx="11637000" cy="654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29160</xdr:colOff>
      <xdr:row>54</xdr:row>
      <xdr:rowOff>57600</xdr:rowOff>
    </xdr:from>
    <xdr:to>
      <xdr:col>12</xdr:col>
      <xdr:colOff>471960</xdr:colOff>
      <xdr:row>88</xdr:row>
      <xdr:rowOff>138960</xdr:rowOff>
    </xdr:to>
    <xdr:graphicFrame>
      <xdr:nvGraphicFramePr>
        <xdr:cNvPr id="1" name=""/>
        <xdr:cNvGraphicFramePr/>
      </xdr:nvGraphicFramePr>
      <xdr:xfrm>
        <a:off x="6251040" y="10344600"/>
        <a:ext cx="11660400" cy="655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E33" colorId="64" zoomScale="100" zoomScaleNormal="100" zoomScalePageLayoutView="100" workbookViewId="0">
      <selection pane="topLeft" activeCell="Q38" activeCellId="0" sqref="Q38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23.55"/>
    <col collapsed="false" customWidth="true" hidden="false" outlineLevel="0" max="3" min="3" style="1" width="19.1"/>
    <col collapsed="false" customWidth="true" hidden="false" outlineLevel="0" max="4" min="4" style="1" width="23.55"/>
    <col collapsed="false" customWidth="true" hidden="false" outlineLevel="0" max="6" min="6" style="0" width="23.55"/>
    <col collapsed="false" customWidth="true" hidden="false" outlineLevel="0" max="7" min="7" style="0" width="20.63"/>
    <col collapsed="false" customWidth="true" hidden="false" outlineLevel="0" max="8" min="8" style="0" width="25.08"/>
    <col collapsed="false" customWidth="true" hidden="false" outlineLevel="0" max="9" min="9" style="0" width="23.83"/>
    <col collapsed="false" customWidth="true" hidden="false" outlineLevel="0" max="10" min="10" style="0" width="19.66"/>
    <col collapsed="false" customWidth="true" hidden="false" outlineLevel="0" max="11" min="11" style="0" width="23.83"/>
    <col collapsed="false" customWidth="true" hidden="false" outlineLevel="0" max="12" min="12" style="0" width="22.5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5" hidden="false" customHeight="false" outlineLevel="0" collapsed="false">
      <c r="A2" s="1" t="s">
        <v>11</v>
      </c>
      <c r="B2" s="1" t="n">
        <v>533</v>
      </c>
      <c r="C2" s="3" t="n">
        <v>497</v>
      </c>
      <c r="D2" s="3" t="n">
        <v>36</v>
      </c>
      <c r="F2" s="3" t="n">
        <v>1</v>
      </c>
      <c r="G2" s="0" t="n">
        <v>508.666666666667</v>
      </c>
      <c r="H2" s="0" t="n">
        <v>469.333333333333</v>
      </c>
      <c r="I2" s="0" t="n">
        <v>39.3333333333333</v>
      </c>
      <c r="J2" s="1" t="n">
        <v>1528.66666666667</v>
      </c>
      <c r="K2" s="0" t="n">
        <v>1421</v>
      </c>
      <c r="L2" s="0" t="n">
        <v>107.666666666667</v>
      </c>
    </row>
    <row r="3" customFormat="false" ht="15" hidden="false" customHeight="false" outlineLevel="0" collapsed="false">
      <c r="B3" s="1" t="n">
        <v>485</v>
      </c>
      <c r="C3" s="3" t="n">
        <v>446</v>
      </c>
      <c r="D3" s="3" t="n">
        <v>39</v>
      </c>
      <c r="F3" s="2" t="n">
        <v>2</v>
      </c>
      <c r="G3" s="1" t="n">
        <v>877.333333333333</v>
      </c>
      <c r="H3" s="0" t="n">
        <v>754.666666666667</v>
      </c>
      <c r="I3" s="0" t="n">
        <v>122.666666666667</v>
      </c>
      <c r="J3" s="0" t="n">
        <v>2640</v>
      </c>
      <c r="K3" s="0" t="n">
        <v>2196</v>
      </c>
      <c r="L3" s="0" t="n">
        <v>444</v>
      </c>
    </row>
    <row r="4" customFormat="false" ht="15" hidden="false" customHeight="false" outlineLevel="0" collapsed="false">
      <c r="B4" s="1" t="n">
        <v>508</v>
      </c>
      <c r="C4" s="3" t="n">
        <v>465</v>
      </c>
      <c r="D4" s="3" t="n">
        <v>43</v>
      </c>
      <c r="F4" s="3" t="n">
        <v>3</v>
      </c>
      <c r="G4" s="1" t="n">
        <v>2951</v>
      </c>
      <c r="H4" s="0" t="n">
        <v>2158.33333333333</v>
      </c>
      <c r="I4" s="0" t="n">
        <v>792.666666666667</v>
      </c>
      <c r="J4" s="1" t="n">
        <v>8464.33333333333</v>
      </c>
      <c r="K4" s="0" t="n">
        <v>6838.66666666667</v>
      </c>
      <c r="L4" s="0" t="n">
        <v>1625.66666666667</v>
      </c>
    </row>
    <row r="5" customFormat="false" ht="15" hidden="false" customHeight="false" outlineLevel="0" collapsed="false">
      <c r="A5" s="1" t="s">
        <v>12</v>
      </c>
      <c r="B5" s="1" t="n">
        <f aca="false">AVERAGE(B2:B4)</f>
        <v>508.666666666667</v>
      </c>
      <c r="C5" s="1" t="n">
        <f aca="false">AVERAGE(C2:C4)</f>
        <v>469.333333333333</v>
      </c>
      <c r="D5" s="1" t="n">
        <f aca="false">AVERAGE(D2:D4)</f>
        <v>39.3333333333333</v>
      </c>
      <c r="F5" s="2" t="n">
        <v>4</v>
      </c>
      <c r="G5" s="1" t="n">
        <v>7535.33333333333</v>
      </c>
      <c r="H5" s="0" t="n">
        <v>3898.66666666667</v>
      </c>
      <c r="I5" s="0" t="n">
        <v>3636.66666666667</v>
      </c>
      <c r="J5" s="1" t="n">
        <v>16229.3333333333</v>
      </c>
      <c r="K5" s="0" t="n">
        <v>11226.3333333333</v>
      </c>
      <c r="L5" s="0" t="n">
        <v>5003</v>
      </c>
    </row>
    <row r="6" customFormat="false" ht="15" hidden="false" customHeight="false" outlineLevel="0" collapsed="false">
      <c r="A6" s="1" t="s">
        <v>13</v>
      </c>
      <c r="B6" s="1" t="n">
        <v>866</v>
      </c>
      <c r="C6" s="3" t="n">
        <v>745</v>
      </c>
      <c r="D6" s="3" t="n">
        <v>121</v>
      </c>
      <c r="F6" s="3" t="n">
        <v>5</v>
      </c>
      <c r="G6" s="0" t="n">
        <v>7947</v>
      </c>
      <c r="H6" s="0" t="n">
        <v>5387</v>
      </c>
      <c r="I6" s="0" t="n">
        <v>2560</v>
      </c>
      <c r="J6" s="1" t="s">
        <v>14</v>
      </c>
      <c r="K6" s="4" t="s">
        <v>14</v>
      </c>
      <c r="L6" s="4" t="s">
        <v>14</v>
      </c>
    </row>
    <row r="7" customFormat="false" ht="15" hidden="false" customHeight="false" outlineLevel="0" collapsed="false">
      <c r="B7" s="2" t="n">
        <v>877</v>
      </c>
      <c r="C7" s="3" t="n">
        <v>757</v>
      </c>
      <c r="D7" s="3" t="n">
        <v>120</v>
      </c>
      <c r="F7" s="1"/>
      <c r="G7" s="1"/>
    </row>
    <row r="8" customFormat="false" ht="15" hidden="false" customHeight="false" outlineLevel="0" collapsed="false">
      <c r="B8" s="1" t="n">
        <v>889</v>
      </c>
      <c r="C8" s="3" t="n">
        <v>762</v>
      </c>
      <c r="D8" s="3" t="n">
        <v>127</v>
      </c>
      <c r="F8" s="1"/>
    </row>
    <row r="9" customFormat="false" ht="15" hidden="false" customHeight="false" outlineLevel="0" collapsed="false">
      <c r="A9" s="2" t="s">
        <v>12</v>
      </c>
      <c r="B9" s="1" t="n">
        <f aca="false">AVERAGE(B6:B8)</f>
        <v>877.333333333333</v>
      </c>
      <c r="C9" s="1" t="n">
        <f aca="false">AVERAGE(C6:C8)</f>
        <v>754.666666666667</v>
      </c>
      <c r="D9" s="1" t="n">
        <f aca="false">AVERAGE(D6:D8)</f>
        <v>122.666666666667</v>
      </c>
      <c r="F9" s="1"/>
    </row>
    <row r="10" customFormat="false" ht="15" hidden="false" customHeight="false" outlineLevel="0" collapsed="false">
      <c r="A10" s="1" t="s">
        <v>15</v>
      </c>
      <c r="B10" s="1" t="n">
        <v>3022</v>
      </c>
      <c r="C10" s="3" t="n">
        <v>2221</v>
      </c>
      <c r="D10" s="3" t="n">
        <v>801</v>
      </c>
    </row>
    <row r="11" customFormat="false" ht="15" hidden="false" customHeight="false" outlineLevel="0" collapsed="false">
      <c r="B11" s="1" t="n">
        <v>2930</v>
      </c>
      <c r="C11" s="3" t="n">
        <v>2128</v>
      </c>
      <c r="D11" s="3" t="n">
        <v>802</v>
      </c>
      <c r="F11" s="1"/>
    </row>
    <row r="12" customFormat="false" ht="15" hidden="false" customHeight="false" outlineLevel="0" collapsed="false">
      <c r="B12" s="1" t="n">
        <v>2901</v>
      </c>
      <c r="C12" s="3" t="n">
        <v>2126</v>
      </c>
      <c r="D12" s="3" t="n">
        <v>775</v>
      </c>
      <c r="F12" s="1"/>
    </row>
    <row r="13" customFormat="false" ht="15" hidden="false" customHeight="false" outlineLevel="0" collapsed="false">
      <c r="A13" s="2" t="s">
        <v>12</v>
      </c>
      <c r="B13" s="1" t="n">
        <f aca="false">AVERAGE(B10:B12)</f>
        <v>2951</v>
      </c>
      <c r="C13" s="1" t="n">
        <f aca="false">AVERAGE(C10:C12)</f>
        <v>2158.33333333333</v>
      </c>
      <c r="D13" s="1" t="n">
        <f aca="false">AVERAGE(D10:D12)</f>
        <v>792.666666666667</v>
      </c>
      <c r="F13" s="1"/>
    </row>
    <row r="14" customFormat="false" ht="15" hidden="false" customHeight="false" outlineLevel="0" collapsed="false">
      <c r="A14" s="1" t="s">
        <v>16</v>
      </c>
      <c r="B14" s="1" t="n">
        <v>7958</v>
      </c>
      <c r="C14" s="3" t="n">
        <v>4306</v>
      </c>
      <c r="D14" s="3" t="n">
        <v>3652</v>
      </c>
    </row>
    <row r="15" customFormat="false" ht="15" hidden="false" customHeight="false" outlineLevel="0" collapsed="false">
      <c r="B15" s="1" t="n">
        <v>7278</v>
      </c>
      <c r="C15" s="3" t="n">
        <v>3719</v>
      </c>
      <c r="D15" s="3" t="n">
        <v>3559</v>
      </c>
      <c r="F15" s="1"/>
      <c r="G15" s="1"/>
    </row>
    <row r="16" customFormat="false" ht="15" hidden="false" customHeight="false" outlineLevel="0" collapsed="false">
      <c r="B16" s="1" t="n">
        <v>7370</v>
      </c>
      <c r="C16" s="3" t="n">
        <v>3671</v>
      </c>
      <c r="D16" s="3" t="n">
        <v>3699</v>
      </c>
      <c r="F16" s="1"/>
      <c r="G16" s="1"/>
    </row>
    <row r="17" customFormat="false" ht="15" hidden="false" customHeight="false" outlineLevel="0" collapsed="false">
      <c r="A17" s="2" t="s">
        <v>12</v>
      </c>
      <c r="B17" s="1" t="n">
        <f aca="false">AVERAGE(B14:B16)</f>
        <v>7535.33333333333</v>
      </c>
      <c r="C17" s="1" t="n">
        <f aca="false">AVERAGE(C14:C16)</f>
        <v>3898.66666666667</v>
      </c>
      <c r="D17" s="1" t="n">
        <f aca="false">AVERAGE(D14:D16)</f>
        <v>3636.66666666667</v>
      </c>
      <c r="F17" s="1"/>
      <c r="G17" s="1"/>
    </row>
    <row r="18" customFormat="false" ht="15" hidden="false" customHeight="false" outlineLevel="0" collapsed="false">
      <c r="A18" s="1" t="s">
        <v>17</v>
      </c>
      <c r="B18" s="1" t="n">
        <v>7801</v>
      </c>
      <c r="C18" s="3" t="n">
        <v>5198</v>
      </c>
      <c r="D18" s="3" t="n">
        <v>2603</v>
      </c>
    </row>
    <row r="19" customFormat="false" ht="15" hidden="false" customHeight="false" outlineLevel="0" collapsed="false">
      <c r="A19" s="0"/>
      <c r="B19" s="1" t="n">
        <v>7939</v>
      </c>
      <c r="C19" s="3" t="n">
        <v>5473</v>
      </c>
      <c r="D19" s="3" t="n">
        <v>2466</v>
      </c>
    </row>
    <row r="20" customFormat="false" ht="15" hidden="false" customHeight="false" outlineLevel="0" collapsed="false">
      <c r="A20" s="0"/>
      <c r="B20" s="1" t="n">
        <v>8101</v>
      </c>
      <c r="C20" s="3" t="n">
        <v>5490</v>
      </c>
      <c r="D20" s="3" t="n">
        <v>2611</v>
      </c>
    </row>
    <row r="21" customFormat="false" ht="15" hidden="false" customHeight="false" outlineLevel="0" collapsed="false">
      <c r="A21" s="3" t="s">
        <v>12</v>
      </c>
      <c r="B21" s="1" t="n">
        <f aca="false">AVERAGE(B18:B20)</f>
        <v>7947</v>
      </c>
      <c r="C21" s="1" t="n">
        <f aca="false">AVERAGE(C18:C20)</f>
        <v>5387</v>
      </c>
      <c r="D21" s="1" t="n">
        <f aca="false">AVERAGE(D18:D20)</f>
        <v>2560</v>
      </c>
    </row>
    <row r="22" customFormat="false" ht="15" hidden="false" customHeight="false" outlineLevel="0" collapsed="false">
      <c r="A22" s="0"/>
      <c r="B22" s="0"/>
      <c r="C22" s="0"/>
      <c r="D22" s="0"/>
    </row>
    <row r="23" customFormat="false" ht="15" hidden="false" customHeight="false" outlineLevel="0" collapsed="false">
      <c r="A23" s="1" t="s">
        <v>18</v>
      </c>
    </row>
    <row r="24" customFormat="false" ht="15" hidden="false" customHeight="false" outlineLevel="0" collapsed="false">
      <c r="A24" s="1" t="s">
        <v>11</v>
      </c>
      <c r="B24" s="5" t="n">
        <v>1455</v>
      </c>
      <c r="C24" s="5" t="n">
        <v>1345</v>
      </c>
      <c r="D24" s="5" t="n">
        <v>110</v>
      </c>
    </row>
    <row r="25" customFormat="false" ht="15" hidden="false" customHeight="false" outlineLevel="0" collapsed="false">
      <c r="B25" s="5" t="n">
        <v>1577</v>
      </c>
      <c r="C25" s="5" t="n">
        <v>1469</v>
      </c>
      <c r="D25" s="5" t="n">
        <v>108</v>
      </c>
    </row>
    <row r="26" customFormat="false" ht="15" hidden="false" customHeight="false" outlineLevel="0" collapsed="false">
      <c r="B26" s="5" t="n">
        <v>1554</v>
      </c>
      <c r="C26" s="5" t="n">
        <v>1449</v>
      </c>
      <c r="D26" s="5" t="n">
        <v>105</v>
      </c>
    </row>
    <row r="27" customFormat="false" ht="15" hidden="false" customHeight="false" outlineLevel="0" collapsed="false">
      <c r="A27" s="2" t="s">
        <v>12</v>
      </c>
      <c r="B27" s="1" t="n">
        <f aca="false">AVERAGE(B24:B26)</f>
        <v>1528.66666666667</v>
      </c>
      <c r="C27" s="1" t="n">
        <f aca="false">AVERAGE(C24:C26)</f>
        <v>1421</v>
      </c>
      <c r="D27" s="1" t="n">
        <f aca="false">AVERAGE(D24:D26)</f>
        <v>107.666666666667</v>
      </c>
    </row>
    <row r="28" customFormat="false" ht="15" hidden="false" customHeight="false" outlineLevel="0" collapsed="false">
      <c r="A28" s="1" t="s">
        <v>13</v>
      </c>
      <c r="B28" s="5" t="n">
        <v>2745</v>
      </c>
      <c r="C28" s="5" t="n">
        <v>2252</v>
      </c>
      <c r="D28" s="5" t="n">
        <v>493</v>
      </c>
    </row>
    <row r="29" customFormat="false" ht="15" hidden="false" customHeight="false" outlineLevel="0" collapsed="false">
      <c r="B29" s="5" t="n">
        <v>2544</v>
      </c>
      <c r="C29" s="5" t="n">
        <v>2118</v>
      </c>
      <c r="D29" s="5" t="n">
        <v>426</v>
      </c>
    </row>
    <row r="30" customFormat="false" ht="15" hidden="false" customHeight="false" outlineLevel="0" collapsed="false">
      <c r="B30" s="5" t="n">
        <v>2631</v>
      </c>
      <c r="C30" s="5" t="n">
        <v>2218</v>
      </c>
      <c r="D30" s="5" t="n">
        <v>413</v>
      </c>
    </row>
    <row r="31" customFormat="false" ht="15" hidden="false" customHeight="false" outlineLevel="0" collapsed="false">
      <c r="A31" s="2" t="s">
        <v>12</v>
      </c>
      <c r="B31" s="1" t="n">
        <f aca="false">AVERAGE(B28:B30)</f>
        <v>2640</v>
      </c>
      <c r="C31" s="1" t="n">
        <f aca="false">AVERAGE(C28:C30)</f>
        <v>2196</v>
      </c>
      <c r="D31" s="1" t="n">
        <f aca="false">AVERAGE(D28:D30)</f>
        <v>444</v>
      </c>
    </row>
    <row r="32" customFormat="false" ht="15" hidden="false" customHeight="false" outlineLevel="0" collapsed="false">
      <c r="A32" s="1" t="s">
        <v>15</v>
      </c>
      <c r="B32" s="5" t="n">
        <v>8470</v>
      </c>
      <c r="C32" s="5" t="n">
        <v>6861</v>
      </c>
      <c r="D32" s="5" t="n">
        <v>1609</v>
      </c>
    </row>
    <row r="33" customFormat="false" ht="15" hidden="false" customHeight="false" outlineLevel="0" collapsed="false">
      <c r="B33" s="5" t="n">
        <v>8220</v>
      </c>
      <c r="C33" s="5" t="n">
        <v>6561</v>
      </c>
      <c r="D33" s="5" t="n">
        <v>1659</v>
      </c>
    </row>
    <row r="34" customFormat="false" ht="15" hidden="false" customHeight="false" outlineLevel="0" collapsed="false">
      <c r="B34" s="5" t="n">
        <v>8703</v>
      </c>
      <c r="C34" s="5" t="n">
        <v>7094</v>
      </c>
      <c r="D34" s="5" t="n">
        <v>1609</v>
      </c>
    </row>
    <row r="35" customFormat="false" ht="15" hidden="false" customHeight="false" outlineLevel="0" collapsed="false">
      <c r="A35" s="2" t="s">
        <v>12</v>
      </c>
      <c r="B35" s="1" t="n">
        <f aca="false">AVERAGE(B32:B34)</f>
        <v>8464.33333333333</v>
      </c>
      <c r="C35" s="1" t="n">
        <f aca="false">AVERAGE(C32:C34)</f>
        <v>6838.66666666667</v>
      </c>
      <c r="D35" s="1" t="n">
        <f aca="false">AVERAGE(D32:D34)</f>
        <v>1625.66666666667</v>
      </c>
    </row>
    <row r="36" customFormat="false" ht="15" hidden="false" customHeight="false" outlineLevel="0" collapsed="false">
      <c r="A36" s="1" t="s">
        <v>16</v>
      </c>
      <c r="B36" s="5" t="n">
        <v>16722</v>
      </c>
      <c r="C36" s="5" t="n">
        <v>11440</v>
      </c>
      <c r="D36" s="5" t="n">
        <v>5282</v>
      </c>
    </row>
    <row r="37" customFormat="false" ht="15" hidden="false" customHeight="false" outlineLevel="0" collapsed="false">
      <c r="B37" s="5" t="n">
        <v>16253</v>
      </c>
      <c r="C37" s="5" t="n">
        <v>11080</v>
      </c>
      <c r="D37" s="5" t="n">
        <v>5173</v>
      </c>
    </row>
    <row r="38" customFormat="false" ht="15" hidden="false" customHeight="false" outlineLevel="0" collapsed="false">
      <c r="B38" s="5" t="n">
        <v>15713</v>
      </c>
      <c r="C38" s="5" t="n">
        <v>11159</v>
      </c>
      <c r="D38" s="5" t="n">
        <v>4554</v>
      </c>
    </row>
    <row r="39" customFormat="false" ht="15" hidden="false" customHeight="false" outlineLevel="0" collapsed="false">
      <c r="A39" s="2" t="s">
        <v>12</v>
      </c>
      <c r="B39" s="1" t="n">
        <f aca="false">AVERAGE(B36:B38)</f>
        <v>16229.3333333333</v>
      </c>
      <c r="C39" s="1" t="n">
        <f aca="false">AVERAGE(C36:C38)</f>
        <v>11226.3333333333</v>
      </c>
      <c r="D39" s="1" t="n">
        <f aca="false">AVERAGE(D36:D38)</f>
        <v>5003</v>
      </c>
    </row>
    <row r="40" customFormat="false" ht="15" hidden="false" customHeight="false" outlineLevel="0" collapsed="false">
      <c r="A40" s="1" t="s">
        <v>17</v>
      </c>
      <c r="B40" s="6" t="s">
        <v>19</v>
      </c>
      <c r="C40" s="6" t="s">
        <v>19</v>
      </c>
      <c r="D40" s="6" t="s">
        <v>19</v>
      </c>
    </row>
    <row r="41" customFormat="false" ht="15" hidden="false" customHeight="false" outlineLevel="0" collapsed="false">
      <c r="A41" s="4"/>
      <c r="B41" s="6" t="s">
        <v>19</v>
      </c>
      <c r="C41" s="6" t="s">
        <v>19</v>
      </c>
      <c r="D41" s="6" t="s">
        <v>19</v>
      </c>
    </row>
    <row r="43" customFormat="false" ht="15" hidden="false" customHeight="false" outlineLevel="0" collapsed="false">
      <c r="A43" s="0"/>
      <c r="B43" s="0"/>
      <c r="C43" s="0"/>
      <c r="D43" s="0"/>
      <c r="F43" s="3" t="s">
        <v>4</v>
      </c>
      <c r="G43" s="2" t="s">
        <v>6</v>
      </c>
      <c r="H43" s="2" t="s">
        <v>7</v>
      </c>
      <c r="I43" s="2" t="s">
        <v>9</v>
      </c>
      <c r="J43" s="2" t="s">
        <v>10</v>
      </c>
    </row>
    <row r="44" customFormat="false" ht="15" hidden="false" customHeight="false" outlineLevel="0" collapsed="false">
      <c r="A44" s="0"/>
      <c r="B44" s="0"/>
      <c r="C44" s="0"/>
      <c r="D44" s="0"/>
      <c r="F44" s="3" t="n">
        <v>1</v>
      </c>
      <c r="G44" s="0" t="n">
        <v>469.333333333333</v>
      </c>
      <c r="H44" s="0" t="n">
        <v>39.3333333333333</v>
      </c>
    </row>
    <row r="45" customFormat="false" ht="15" hidden="false" customHeight="false" outlineLevel="0" collapsed="false">
      <c r="A45" s="0"/>
      <c r="B45" s="0"/>
      <c r="C45" s="0"/>
      <c r="D45" s="0"/>
      <c r="F45" s="0" t="n">
        <v>1</v>
      </c>
      <c r="I45" s="0" t="n">
        <v>1421</v>
      </c>
      <c r="J45" s="0" t="n">
        <v>107.666666666667</v>
      </c>
    </row>
    <row r="46" customFormat="false" ht="15" hidden="false" customHeight="false" outlineLevel="0" collapsed="false">
      <c r="A46" s="0"/>
      <c r="B46" s="0"/>
      <c r="C46" s="0"/>
      <c r="D46" s="0"/>
      <c r="F46" s="2" t="n">
        <v>2</v>
      </c>
      <c r="G46" s="0" t="n">
        <v>754.666666666667</v>
      </c>
      <c r="H46" s="0" t="n">
        <v>122.666666666667</v>
      </c>
    </row>
    <row r="47" customFormat="false" ht="15" hidden="false" customHeight="false" outlineLevel="0" collapsed="false">
      <c r="A47" s="0"/>
      <c r="B47" s="0"/>
      <c r="C47" s="0"/>
      <c r="D47" s="0"/>
      <c r="F47" s="0" t="n">
        <v>2</v>
      </c>
      <c r="I47" s="0" t="n">
        <v>2196</v>
      </c>
      <c r="J47" s="0" t="n">
        <v>444</v>
      </c>
    </row>
    <row r="48" customFormat="false" ht="15" hidden="false" customHeight="false" outlineLevel="0" collapsed="false">
      <c r="A48" s="0"/>
      <c r="B48" s="0"/>
      <c r="C48" s="0"/>
      <c r="D48" s="0"/>
      <c r="F48" s="3" t="n">
        <v>3</v>
      </c>
      <c r="G48" s="0" t="n">
        <v>2158.33333333333</v>
      </c>
      <c r="H48" s="0" t="n">
        <v>792.666666666667</v>
      </c>
    </row>
    <row r="49" customFormat="false" ht="15" hidden="false" customHeight="false" outlineLevel="0" collapsed="false">
      <c r="A49" s="0"/>
      <c r="B49" s="0"/>
      <c r="C49" s="0"/>
      <c r="D49" s="0"/>
      <c r="F49" s="0" t="n">
        <v>3</v>
      </c>
      <c r="I49" s="0" t="n">
        <v>6838.66666666667</v>
      </c>
      <c r="J49" s="0" t="n">
        <v>1625.66666666667</v>
      </c>
    </row>
    <row r="50" customFormat="false" ht="15" hidden="false" customHeight="false" outlineLevel="0" collapsed="false">
      <c r="A50" s="0"/>
      <c r="B50" s="0"/>
      <c r="C50" s="0"/>
      <c r="D50" s="0"/>
      <c r="F50" s="2" t="n">
        <v>4</v>
      </c>
      <c r="G50" s="0" t="n">
        <v>3898.66666666667</v>
      </c>
      <c r="H50" s="0" t="n">
        <v>3636.66666666667</v>
      </c>
    </row>
    <row r="51" customFormat="false" ht="15" hidden="false" customHeight="false" outlineLevel="0" collapsed="false">
      <c r="A51" s="0"/>
      <c r="B51" s="0"/>
      <c r="C51" s="0"/>
      <c r="D51" s="0"/>
      <c r="F51" s="0" t="n">
        <v>4</v>
      </c>
      <c r="I51" s="0" t="n">
        <v>11226.3333333333</v>
      </c>
      <c r="J51" s="0" t="n">
        <v>5003</v>
      </c>
    </row>
    <row r="52" customFormat="false" ht="15" hidden="false" customHeight="false" outlineLevel="0" collapsed="false">
      <c r="A52" s="0"/>
      <c r="B52" s="0"/>
      <c r="C52" s="0"/>
      <c r="D52" s="0"/>
      <c r="F52" s="3" t="n">
        <v>5</v>
      </c>
      <c r="G52" s="0" t="n">
        <v>5387</v>
      </c>
      <c r="H52" s="0" t="n">
        <v>2560</v>
      </c>
    </row>
    <row r="53" customFormat="false" ht="15" hidden="false" customHeight="false" outlineLevel="0" collapsed="false">
      <c r="A53" s="0"/>
      <c r="B53" s="0"/>
      <c r="C53" s="0"/>
      <c r="D53" s="0"/>
      <c r="F53" s="0" t="n">
        <v>5</v>
      </c>
    </row>
    <row r="54" customFormat="false" ht="15" hidden="false" customHeight="false" outlineLevel="0" collapsed="false">
      <c r="A54" s="0"/>
      <c r="B54" s="0"/>
      <c r="C54" s="0"/>
      <c r="D54" s="0"/>
    </row>
    <row r="55" customFormat="false" ht="15" hidden="false" customHeight="false" outlineLevel="0" collapsed="false">
      <c r="A55" s="0"/>
      <c r="B55" s="0"/>
      <c r="C55" s="0"/>
      <c r="D55" s="0"/>
    </row>
    <row r="56" customFormat="false" ht="15" hidden="false" customHeight="false" outlineLevel="0" collapsed="false">
      <c r="A56" s="0"/>
      <c r="B56" s="0"/>
      <c r="C56" s="0"/>
      <c r="D56" s="0"/>
    </row>
    <row r="57" customFormat="false" ht="15" hidden="false" customHeight="false" outlineLevel="0" collapsed="false">
      <c r="A57" s="0"/>
      <c r="B57" s="0"/>
      <c r="C57" s="0"/>
      <c r="D57" s="0"/>
    </row>
    <row r="58" customFormat="false" ht="15" hidden="false" customHeight="false" outlineLevel="0" collapsed="false">
      <c r="A58" s="0"/>
      <c r="B58" s="0"/>
      <c r="C58" s="0"/>
      <c r="D58" s="0"/>
    </row>
    <row r="59" customFormat="false" ht="15" hidden="false" customHeight="false" outlineLevel="0" collapsed="false">
      <c r="A59" s="0"/>
      <c r="B59" s="0"/>
      <c r="C59" s="0"/>
      <c r="D59" s="0"/>
    </row>
    <row r="60" customFormat="false" ht="15" hidden="false" customHeight="false" outlineLevel="0" collapsed="false">
      <c r="A60" s="0"/>
      <c r="B60" s="0"/>
      <c r="C60" s="0"/>
      <c r="D60" s="0"/>
    </row>
    <row r="61" customFormat="false" ht="15" hidden="false" customHeight="false" outlineLevel="0" collapsed="false">
      <c r="A61" s="0"/>
      <c r="B61" s="0"/>
      <c r="C61" s="0"/>
      <c r="D61" s="0"/>
    </row>
    <row r="62" customFormat="false" ht="15" hidden="false" customHeight="false" outlineLevel="0" collapsed="false">
      <c r="A62" s="0"/>
      <c r="B62" s="0"/>
      <c r="C62" s="0"/>
      <c r="D62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2026-05-05T18:28:27Z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